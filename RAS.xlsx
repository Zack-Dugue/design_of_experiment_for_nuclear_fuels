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757884\Desktop\Gustavo\Doctoral_Research\DOE\Code_New_Features\HGR\"/>
    </mc:Choice>
  </mc:AlternateContent>
  <xr:revisionPtr revIDLastSave="0" documentId="8_{49BEFF0A-43A6-48E0-998F-5DE07DD734AB}" xr6:coauthVersionLast="47" xr6:coauthVersionMax="47" xr10:uidLastSave="{00000000-0000-0000-0000-000000000000}"/>
  <bookViews>
    <workbookView xWindow="-120" yWindow="-120" windowWidth="38640" windowHeight="21120" xr2:uid="{8912E6A0-3536-4F1F-9569-600709917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  <c r="E4" i="1"/>
  <c r="E3" i="1"/>
  <c r="E2" i="1"/>
</calcChain>
</file>

<file path=xl/sharedStrings.xml><?xml version="1.0" encoding="utf-8"?>
<sst xmlns="http://schemas.openxmlformats.org/spreadsheetml/2006/main" count="10" uniqueCount="5">
  <si>
    <t>A</t>
  </si>
  <si>
    <t>S</t>
  </si>
  <si>
    <t>Axial position relative to HFIR midplane (mm)</t>
  </si>
  <si>
    <t>R</t>
  </si>
  <si>
    <t>Radial distance to HFIR centerline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</si>
</sst>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8326-2EED-4874-A513-F94EAFB4A5BD}">
  <dimension ref="A1:J19"/>
  <sheetViews>
    <sheetView tabSelected="1" zoomScale="145" zoomScaleNormal="145" workbookViewId="0">
      <selection activeCell="J22" sqref="J22"/>
    </sheetView>
  </sheetViews>
  <sheetFormatPr defaultRowHeight="14.5" x14ac:dyDescent="0.35"/>
  <cols>
    <col min="1" max="1" width="12.7265625" customWidth="1"/>
    <col min="3" max="3" width="36.81640625" customWidth="1"/>
    <col min="5" max="5" width="34" customWidth="1"/>
    <col min="6" max="6" width="13.08984375" customWidth="1"/>
    <col min="7" max="7" width="13.81640625" customWidth="1"/>
    <col min="8" max="8" width="37.08984375" bestFit="1" customWidth="1"/>
    <col min="10" max="10" width="33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35">
      <c r="A2" s="1">
        <v>3</v>
      </c>
      <c r="B2" s="1">
        <v>6</v>
      </c>
      <c r="C2" s="1">
        <v>254.61099999999996</v>
      </c>
      <c r="D2" s="1">
        <v>1</v>
      </c>
      <c r="E2" s="1">
        <f>392.11+9.21</f>
        <v>401.32</v>
      </c>
      <c r="F2" s="1">
        <v>3</v>
      </c>
      <c r="G2" s="1">
        <v>6</v>
      </c>
      <c r="H2" s="1">
        <v>276.61099999999993</v>
      </c>
      <c r="I2" s="1">
        <v>1</v>
      </c>
      <c r="J2" s="1">
        <f>273.05-12.66112</f>
        <v>260.38888000000003</v>
      </c>
    </row>
    <row r="3" spans="1:10" x14ac:dyDescent="0.35">
      <c r="A3" s="1">
        <v>3</v>
      </c>
      <c r="B3" s="1">
        <v>5</v>
      </c>
      <c r="C3" s="1">
        <v>230.11099999999996</v>
      </c>
      <c r="D3" s="1">
        <v>2</v>
      </c>
      <c r="E3" s="1">
        <f>392.11-4.605</f>
        <v>387.505</v>
      </c>
      <c r="F3" s="1">
        <v>3</v>
      </c>
      <c r="G3" s="1">
        <v>5</v>
      </c>
      <c r="H3" s="1">
        <v>252.11099999999996</v>
      </c>
      <c r="I3" s="1">
        <v>2</v>
      </c>
      <c r="J3" s="1">
        <f>273.05-12.66112</f>
        <v>260.38888000000003</v>
      </c>
    </row>
    <row r="4" spans="1:10" x14ac:dyDescent="0.35">
      <c r="A4" s="1">
        <v>3</v>
      </c>
      <c r="B4" s="1">
        <v>4</v>
      </c>
      <c r="C4" s="1">
        <v>205.61100000000002</v>
      </c>
      <c r="D4" s="1">
        <v>3</v>
      </c>
      <c r="E4" s="1">
        <f>392.11-4.605</f>
        <v>387.505</v>
      </c>
      <c r="F4" s="1">
        <v>3</v>
      </c>
      <c r="G4" s="1">
        <v>4</v>
      </c>
      <c r="H4" s="1">
        <v>227.61100000000002</v>
      </c>
      <c r="I4" s="1">
        <v>3</v>
      </c>
      <c r="J4" s="1">
        <f>273.05+4.896399</f>
        <v>277.94639899999999</v>
      </c>
    </row>
    <row r="5" spans="1:10" x14ac:dyDescent="0.35">
      <c r="A5" s="1">
        <v>3</v>
      </c>
      <c r="B5" s="1">
        <v>3</v>
      </c>
      <c r="C5" s="1">
        <v>181.11100000000002</v>
      </c>
      <c r="F5" s="1">
        <v>3</v>
      </c>
      <c r="G5" s="1">
        <v>3</v>
      </c>
      <c r="H5" s="1">
        <v>203.11100000000002</v>
      </c>
      <c r="I5" s="1">
        <v>4</v>
      </c>
      <c r="J5" s="1">
        <f>273.05+15.65</f>
        <v>288.7</v>
      </c>
    </row>
    <row r="6" spans="1:10" x14ac:dyDescent="0.35">
      <c r="A6" s="1">
        <v>3</v>
      </c>
      <c r="B6" s="1">
        <v>2</v>
      </c>
      <c r="C6" s="1">
        <v>156.61100000000002</v>
      </c>
      <c r="F6" s="1">
        <v>3</v>
      </c>
      <c r="G6" s="1">
        <v>2</v>
      </c>
      <c r="H6" s="1">
        <v>178.61100000000002</v>
      </c>
      <c r="I6" s="1">
        <v>5</v>
      </c>
      <c r="J6" s="1">
        <f>J4</f>
        <v>277.94639899999999</v>
      </c>
    </row>
    <row r="7" spans="1:10" x14ac:dyDescent="0.35">
      <c r="A7" s="1">
        <v>3</v>
      </c>
      <c r="B7" s="1">
        <v>1</v>
      </c>
      <c r="C7" s="1">
        <v>132.11100000000002</v>
      </c>
      <c r="F7" s="1">
        <v>3</v>
      </c>
      <c r="G7" s="1">
        <v>1</v>
      </c>
      <c r="H7" s="1">
        <v>154.11100000000002</v>
      </c>
    </row>
    <row r="8" spans="1:10" x14ac:dyDescent="0.35">
      <c r="A8" s="1">
        <v>2</v>
      </c>
      <c r="B8" s="1">
        <v>6</v>
      </c>
      <c r="C8" s="1">
        <v>54.65</v>
      </c>
      <c r="F8" s="1">
        <v>2</v>
      </c>
      <c r="G8" s="1">
        <v>6</v>
      </c>
      <c r="H8" s="1">
        <v>76.650000000000006</v>
      </c>
    </row>
    <row r="9" spans="1:10" x14ac:dyDescent="0.35">
      <c r="A9" s="1">
        <v>2</v>
      </c>
      <c r="B9" s="1">
        <v>5</v>
      </c>
      <c r="C9" s="1">
        <v>30.15</v>
      </c>
      <c r="F9" s="1">
        <v>2</v>
      </c>
      <c r="G9" s="1">
        <v>5</v>
      </c>
      <c r="H9" s="1">
        <v>52.15</v>
      </c>
    </row>
    <row r="10" spans="1:10" x14ac:dyDescent="0.35">
      <c r="A10" s="1">
        <v>2</v>
      </c>
      <c r="B10" s="1">
        <v>4</v>
      </c>
      <c r="C10" s="1">
        <v>5.65</v>
      </c>
      <c r="F10" s="1">
        <v>2</v>
      </c>
      <c r="G10" s="1">
        <v>4</v>
      </c>
      <c r="H10" s="1">
        <v>27.65</v>
      </c>
    </row>
    <row r="11" spans="1:10" x14ac:dyDescent="0.35">
      <c r="A11" s="1">
        <v>2</v>
      </c>
      <c r="B11" s="1">
        <v>3</v>
      </c>
      <c r="C11" s="1">
        <v>-18.850000000000001</v>
      </c>
      <c r="F11" s="1">
        <v>2</v>
      </c>
      <c r="G11" s="1">
        <v>3</v>
      </c>
      <c r="H11" s="1">
        <v>3.1500000000000004</v>
      </c>
    </row>
    <row r="12" spans="1:10" x14ac:dyDescent="0.35">
      <c r="A12" s="1">
        <v>2</v>
      </c>
      <c r="B12" s="1">
        <v>2</v>
      </c>
      <c r="C12" s="1">
        <v>-43.35</v>
      </c>
      <c r="F12" s="1">
        <v>2</v>
      </c>
      <c r="G12" s="1">
        <v>2</v>
      </c>
      <c r="H12" s="1">
        <v>-21.35</v>
      </c>
    </row>
    <row r="13" spans="1:10" x14ac:dyDescent="0.35">
      <c r="A13" s="1">
        <v>2</v>
      </c>
      <c r="B13" s="1">
        <v>1</v>
      </c>
      <c r="C13" s="1">
        <v>-67.849999999999994</v>
      </c>
      <c r="F13" s="1">
        <v>2</v>
      </c>
      <c r="G13" s="1">
        <v>1</v>
      </c>
      <c r="H13" s="1">
        <v>-45.85</v>
      </c>
    </row>
    <row r="14" spans="1:10" x14ac:dyDescent="0.35">
      <c r="A14" s="1">
        <v>1</v>
      </c>
      <c r="B14" s="1">
        <v>6</v>
      </c>
      <c r="C14" s="1">
        <v>-145.3115</v>
      </c>
      <c r="F14" s="1">
        <v>1</v>
      </c>
      <c r="G14" s="1">
        <v>6</v>
      </c>
      <c r="H14" s="1">
        <v>-123.3115</v>
      </c>
    </row>
    <row r="15" spans="1:10" x14ac:dyDescent="0.35">
      <c r="A15" s="1">
        <v>1</v>
      </c>
      <c r="B15" s="1">
        <v>5</v>
      </c>
      <c r="C15" s="1">
        <v>-169.8115</v>
      </c>
      <c r="F15" s="1">
        <v>1</v>
      </c>
      <c r="G15" s="1">
        <v>5</v>
      </c>
      <c r="H15" s="1">
        <v>-147.8115</v>
      </c>
    </row>
    <row r="16" spans="1:10" x14ac:dyDescent="0.35">
      <c r="A16" s="1">
        <v>1</v>
      </c>
      <c r="B16" s="1">
        <v>4</v>
      </c>
      <c r="C16" s="1">
        <v>-194.3115</v>
      </c>
      <c r="F16" s="1">
        <v>1</v>
      </c>
      <c r="G16" s="1">
        <v>4</v>
      </c>
      <c r="H16" s="1">
        <v>-172.3115</v>
      </c>
    </row>
    <row r="17" spans="1:8" x14ac:dyDescent="0.35">
      <c r="A17" s="1">
        <v>1</v>
      </c>
      <c r="B17" s="1">
        <v>3</v>
      </c>
      <c r="C17" s="1">
        <v>-218.8115</v>
      </c>
      <c r="F17" s="1">
        <v>1</v>
      </c>
      <c r="G17" s="1">
        <v>3</v>
      </c>
      <c r="H17" s="1">
        <v>-196.8115</v>
      </c>
    </row>
    <row r="18" spans="1:8" x14ac:dyDescent="0.35">
      <c r="A18" s="1">
        <v>1</v>
      </c>
      <c r="B18" s="1">
        <v>2</v>
      </c>
      <c r="C18" s="1">
        <v>-243.3115</v>
      </c>
      <c r="F18" s="1">
        <v>1</v>
      </c>
      <c r="G18" s="1">
        <v>2</v>
      </c>
      <c r="H18" s="1">
        <v>-221.3115</v>
      </c>
    </row>
    <row r="19" spans="1:8" x14ac:dyDescent="0.35">
      <c r="A19" s="1">
        <v>1</v>
      </c>
      <c r="B19" s="1">
        <v>1</v>
      </c>
      <c r="C19" s="1">
        <v>-267.81150000000002</v>
      </c>
      <c r="F19" s="1">
        <v>1</v>
      </c>
      <c r="G19" s="1">
        <v>1</v>
      </c>
      <c r="H19" s="1">
        <v>-245.8115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Giraldo Echeverri, Gustavo Alberto</dc:creator>
  <cp:lastModifiedBy>Giraldo Echeverri, Gustavo Alberto</cp:lastModifiedBy>
  <dcterms:created xsi:type="dcterms:W3CDTF">2025-08-14T03:05:01Z</dcterms:created>
  <dcterms:modified xsi:type="dcterms:W3CDTF">2025-08-14T03:11:07Z</dcterms:modified>
</cp:coreProperties>
</file>