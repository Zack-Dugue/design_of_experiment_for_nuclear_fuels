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9757884\Desktop\Gustavo\Doctoral_Research\DOE\AA-FINAL\"/>
    </mc:Choice>
  </mc:AlternateContent>
  <xr:revisionPtr revIDLastSave="0" documentId="13_ncr:1_{5F884222-874A-4A5E-ACC3-3A9B90286EEC}" xr6:coauthVersionLast="47" xr6:coauthVersionMax="47" xr10:uidLastSave="{00000000-0000-0000-0000-000000000000}"/>
  <bookViews>
    <workbookView xWindow="2940" yWindow="15000" windowWidth="28800" windowHeight="15450" xr2:uid="{E9D40E21-DF4C-4AE1-91AA-C4FFD559D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<sst xmlns="http://schemas.openxmlformats.org/spreadsheetml/2006/main" count="11" uniqueCount="8">
  <si>
    <t>Material</t>
  </si>
  <si>
    <t>U fraction</t>
  </si>
  <si>
    <t>Enrichment (% U-235/U)</t>
  </si>
  <si>
    <t>N_U-235 (atoms/cm^3)</t>
  </si>
  <si>
    <t>UO2</t>
  </si>
  <si>
    <t>UN</t>
  </si>
  <si>
    <t>UC</t>
  </si>
  <si>
    <t>Theoretical density (kg/m^3)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</si>
</sst>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3" formatCode="0.000000000000000E+00"/>
    <numFmt numFmtId="174" formatCode="0.0000000000000000E+00"/>
    <numFmt numFmtId="175" formatCode="0.00000000000000000E+00"/>
    <numFmt numFmtId="178" formatCode="0.00000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FCE5-AE77-4F3C-AC9E-6676019673DF}">
  <dimension ref="A1:E7"/>
  <sheetViews>
    <sheetView tabSelected="1" workbookViewId="0">
      <selection activeCell="E5" sqref="E5"/>
    </sheetView>
  </sheetViews>
  <sheetFormatPr defaultRowHeight="14.5" x14ac:dyDescent="0.35"/>
  <cols>
    <col min="1" max="1" width="7.453125" bestFit="1" customWidth="1"/>
    <col min="2" max="2" width="16.08984375" customWidth="1"/>
    <col min="4" max="4" width="11.26953125" customWidth="1"/>
    <col min="5" max="5" width="30.26953125" customWidth="1"/>
  </cols>
  <sheetData>
    <row r="1" spans="1:5" s="1" customFormat="1" ht="29" x14ac:dyDescent="0.3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</row>
    <row r="2" spans="1:5" x14ac:dyDescent="0.35">
      <c r="A2" t="s">
        <v>4</v>
      </c>
      <c r="B2">
        <v>10920</v>
      </c>
      <c r="C2">
        <f>238/(238+2*16)</f>
        <v>0.88148148148148153</v>
      </c>
      <c r="D2">
        <v>0.35</v>
      </c>
      <c r="E2" s="3">
        <f>((B2/1000)*C2*(D2/100)*6.022E+23)/235</f>
        <v>8.633298647754136E+19</v>
      </c>
    </row>
    <row r="3" spans="1:5" x14ac:dyDescent="0.35">
      <c r="A3" t="s">
        <v>4</v>
      </c>
      <c r="B3">
        <v>10920</v>
      </c>
      <c r="C3">
        <f>238/(238+2*16)</f>
        <v>0.88148148148148153</v>
      </c>
      <c r="D3">
        <v>0.71099999999999997</v>
      </c>
      <c r="E3" s="4">
        <f t="shared" ref="E3:E7" si="0">((B3/1000)*C3*(D3/100)*6.022E+23)/235</f>
        <v>1.7537929538723404E+20</v>
      </c>
    </row>
    <row r="4" spans="1:5" x14ac:dyDescent="0.35">
      <c r="A4" t="s">
        <v>5</v>
      </c>
      <c r="B4">
        <v>14280</v>
      </c>
      <c r="C4">
        <f>238/(238+14)</f>
        <v>0.94444444444444442</v>
      </c>
      <c r="D4">
        <v>0.35</v>
      </c>
      <c r="E4">
        <f t="shared" si="0"/>
        <v>1.209610524822695E+20</v>
      </c>
    </row>
    <row r="5" spans="1:5" x14ac:dyDescent="0.35">
      <c r="A5" t="s">
        <v>5</v>
      </c>
      <c r="B5">
        <v>14280</v>
      </c>
      <c r="C5">
        <f>238/(238+14)</f>
        <v>0.94444444444444442</v>
      </c>
      <c r="D5">
        <v>0.71099999999999997</v>
      </c>
      <c r="E5" s="5">
        <f t="shared" si="0"/>
        <v>2.457237380425532E+20</v>
      </c>
    </row>
    <row r="6" spans="1:5" x14ac:dyDescent="0.35">
      <c r="A6" t="s">
        <v>6</v>
      </c>
      <c r="B6">
        <v>13630</v>
      </c>
      <c r="C6">
        <f>238/(238+12)</f>
        <v>0.95199999999999996</v>
      </c>
      <c r="D6">
        <v>0.35</v>
      </c>
      <c r="E6">
        <f t="shared" si="0"/>
        <v>1.1637876319999998E+20</v>
      </c>
    </row>
    <row r="7" spans="1:5" x14ac:dyDescent="0.35">
      <c r="A7" t="s">
        <v>6</v>
      </c>
      <c r="B7">
        <v>13630</v>
      </c>
      <c r="C7">
        <f>238/(238+12)</f>
        <v>0.95199999999999996</v>
      </c>
      <c r="D7">
        <v>0.71099999999999997</v>
      </c>
      <c r="E7" s="2">
        <f t="shared" si="0"/>
        <v>2.3641514467199998E+20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Gorton, Jacob</dc:creator>
  <cp:lastModifiedBy>Giraldo Echeverri, Gustavo Alberto</cp:lastModifiedBy>
  <dcterms:created xsi:type="dcterms:W3CDTF">2025-08-03T18:40:09Z</dcterms:created>
  <dcterms:modified xsi:type="dcterms:W3CDTF">2025-08-06T14:47:07Z</dcterms:modified>
</cp:coreProperties>
</file>