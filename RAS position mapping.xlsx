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9757884\Desktop\Gustavo\Doctoral_Research\DOE\Code_New_Features\"/>
    </mc:Choice>
  </mc:AlternateContent>
  <xr:revisionPtr revIDLastSave="0" documentId="8_{1F0515CF-2792-46DA-A4FF-F2FACF34F039}" xr6:coauthVersionLast="47" xr6:coauthVersionMax="47" xr10:uidLastSave="{00000000-0000-0000-0000-000000000000}"/>
  <bookViews>
    <workbookView xWindow="-120" yWindow="-120" windowWidth="38640" windowHeight="21120" activeTab="1" xr2:uid="{B56F09CE-3C61-4BB4-9197-53F382D6A753}"/>
  </bookViews>
  <sheets>
    <sheet name="RB" sheetId="1" r:id="rId1"/>
    <sheet name="VX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4" i="2"/>
  <c r="G3" i="2"/>
  <c r="G6" i="1"/>
  <c r="G4" i="1"/>
  <c r="G3" i="1"/>
  <c r="G2" i="1"/>
  <c r="G5" i="1"/>
</calcChain>
</file>

<file path=xl/sharedStrings.xml><?xml version="1.0" encoding="utf-8"?>
<sst xmlns="http://schemas.openxmlformats.org/spreadsheetml/2006/main" count="10" uniqueCount="5">
  <si>
    <t>A</t>
  </si>
  <si>
    <t>S</t>
  </si>
  <si>
    <t>Axial position relative to HFIR midplane (mm)</t>
  </si>
  <si>
    <t>R</t>
  </si>
  <si>
    <t>Radial distance to HFIR centerline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</si>
</sst>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798B9-BB01-41B4-8FE9-314B837AEB4C}">
  <dimension ref="A1:G19"/>
  <sheetViews>
    <sheetView workbookViewId="0">
      <selection activeCell="G16" sqref="G16"/>
    </sheetView>
  </sheetViews>
  <sheetFormatPr defaultRowHeight="14.5" x14ac:dyDescent="0.35"/>
  <cols>
    <col min="3" max="3" width="37.08984375" bestFit="1" customWidth="1"/>
    <col min="7" max="7" width="34.90625" bestFit="1" customWidth="1"/>
  </cols>
  <sheetData>
    <row r="1" spans="1:7" x14ac:dyDescent="0.35">
      <c r="A1" t="s">
        <v>0</v>
      </c>
      <c r="B1" t="s">
        <v>1</v>
      </c>
      <c r="C1" t="s">
        <v>2</v>
      </c>
      <c r="F1" t="s">
        <v>3</v>
      </c>
      <c r="G1" t="s">
        <v>4</v>
      </c>
    </row>
    <row r="2" spans="1:7" x14ac:dyDescent="0.35">
      <c r="A2">
        <v>3</v>
      </c>
      <c r="B2">
        <v>6</v>
      </c>
      <c r="C2">
        <v>276.61099999999993</v>
      </c>
      <c r="F2">
        <v>1</v>
      </c>
      <c r="G2">
        <f>273.05-12.66112</f>
        <v>260.38888000000003</v>
      </c>
    </row>
    <row r="3" spans="1:7" x14ac:dyDescent="0.35">
      <c r="A3">
        <v>3</v>
      </c>
      <c r="B3">
        <v>5</v>
      </c>
      <c r="C3">
        <v>252.11099999999996</v>
      </c>
      <c r="F3">
        <v>2</v>
      </c>
      <c r="G3">
        <f>273.05-12.66112</f>
        <v>260.38888000000003</v>
      </c>
    </row>
    <row r="4" spans="1:7" x14ac:dyDescent="0.35">
      <c r="A4">
        <v>3</v>
      </c>
      <c r="B4">
        <v>4</v>
      </c>
      <c r="C4">
        <v>227.61100000000002</v>
      </c>
      <c r="F4">
        <v>3</v>
      </c>
      <c r="G4">
        <f>273.05+4.896399</f>
        <v>277.94639899999999</v>
      </c>
    </row>
    <row r="5" spans="1:7" x14ac:dyDescent="0.35">
      <c r="A5">
        <v>3</v>
      </c>
      <c r="B5">
        <v>3</v>
      </c>
      <c r="C5">
        <v>203.11100000000002</v>
      </c>
      <c r="F5">
        <v>4</v>
      </c>
      <c r="G5">
        <f>273.05+15.65</f>
        <v>288.7</v>
      </c>
    </row>
    <row r="6" spans="1:7" x14ac:dyDescent="0.35">
      <c r="A6">
        <v>3</v>
      </c>
      <c r="B6">
        <v>2</v>
      </c>
      <c r="C6">
        <v>178.61100000000002</v>
      </c>
      <c r="F6">
        <v>5</v>
      </c>
      <c r="G6">
        <f>G4</f>
        <v>277.94639899999999</v>
      </c>
    </row>
    <row r="7" spans="1:7" x14ac:dyDescent="0.35">
      <c r="A7">
        <v>3</v>
      </c>
      <c r="B7">
        <v>1</v>
      </c>
      <c r="C7">
        <v>154.11100000000002</v>
      </c>
    </row>
    <row r="8" spans="1:7" x14ac:dyDescent="0.35">
      <c r="A8">
        <v>2</v>
      </c>
      <c r="B8">
        <v>6</v>
      </c>
      <c r="C8">
        <v>76.650000000000006</v>
      </c>
    </row>
    <row r="9" spans="1:7" x14ac:dyDescent="0.35">
      <c r="A9">
        <v>2</v>
      </c>
      <c r="B9">
        <v>5</v>
      </c>
      <c r="C9">
        <v>52.15</v>
      </c>
    </row>
    <row r="10" spans="1:7" x14ac:dyDescent="0.35">
      <c r="A10">
        <v>2</v>
      </c>
      <c r="B10">
        <v>4</v>
      </c>
      <c r="C10">
        <v>27.65</v>
      </c>
    </row>
    <row r="11" spans="1:7" x14ac:dyDescent="0.35">
      <c r="A11">
        <v>2</v>
      </c>
      <c r="B11">
        <v>3</v>
      </c>
      <c r="C11">
        <v>3.1500000000000004</v>
      </c>
    </row>
    <row r="12" spans="1:7" x14ac:dyDescent="0.35">
      <c r="A12">
        <v>2</v>
      </c>
      <c r="B12">
        <v>2</v>
      </c>
      <c r="C12">
        <v>-21.35</v>
      </c>
    </row>
    <row r="13" spans="1:7" x14ac:dyDescent="0.35">
      <c r="A13">
        <v>2</v>
      </c>
      <c r="B13">
        <v>1</v>
      </c>
      <c r="C13">
        <v>-45.85</v>
      </c>
    </row>
    <row r="14" spans="1:7" x14ac:dyDescent="0.35">
      <c r="A14">
        <v>1</v>
      </c>
      <c r="B14">
        <v>6</v>
      </c>
      <c r="C14">
        <v>-123.3115</v>
      </c>
    </row>
    <row r="15" spans="1:7" x14ac:dyDescent="0.35">
      <c r="A15">
        <v>1</v>
      </c>
      <c r="B15">
        <v>5</v>
      </c>
      <c r="C15">
        <v>-147.8115</v>
      </c>
    </row>
    <row r="16" spans="1:7" x14ac:dyDescent="0.35">
      <c r="A16">
        <v>1</v>
      </c>
      <c r="B16">
        <v>4</v>
      </c>
      <c r="C16">
        <v>-172.3115</v>
      </c>
    </row>
    <row r="17" spans="1:3" x14ac:dyDescent="0.35">
      <c r="A17">
        <v>1</v>
      </c>
      <c r="B17">
        <v>3</v>
      </c>
      <c r="C17">
        <v>-196.8115</v>
      </c>
    </row>
    <row r="18" spans="1:3" x14ac:dyDescent="0.35">
      <c r="A18">
        <v>1</v>
      </c>
      <c r="B18">
        <v>2</v>
      </c>
      <c r="C18">
        <v>-221.3115</v>
      </c>
    </row>
    <row r="19" spans="1:3" x14ac:dyDescent="0.35">
      <c r="A19">
        <v>1</v>
      </c>
      <c r="B19">
        <v>1</v>
      </c>
      <c r="C19">
        <v>-245.8115</v>
      </c>
    </row>
  </sheetData>
  <sortState xmlns:xlrd2="http://schemas.microsoft.com/office/spreadsheetml/2017/richdata2" ref="A2:C19">
    <sortCondition descending="1" ref="C2:C1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66F26-B71B-4E1C-AC11-D8DD4DF445EC}">
  <dimension ref="A1:G19"/>
  <sheetViews>
    <sheetView tabSelected="1" zoomScale="205" zoomScaleNormal="205" workbookViewId="0">
      <selection activeCell="E12" sqref="E12"/>
    </sheetView>
  </sheetViews>
  <sheetFormatPr defaultRowHeight="14.5" x14ac:dyDescent="0.35"/>
  <cols>
    <col min="3" max="3" width="39.6328125" bestFit="1" customWidth="1"/>
    <col min="7" max="7" width="34.90625" bestFit="1" customWidth="1"/>
  </cols>
  <sheetData>
    <row r="1" spans="1:7" x14ac:dyDescent="0.35">
      <c r="A1" t="s">
        <v>0</v>
      </c>
      <c r="B1" t="s">
        <v>1</v>
      </c>
      <c r="C1" t="s">
        <v>2</v>
      </c>
      <c r="F1" t="s">
        <v>3</v>
      </c>
      <c r="G1" t="s">
        <v>4</v>
      </c>
    </row>
    <row r="2" spans="1:7" x14ac:dyDescent="0.35">
      <c r="A2">
        <v>3</v>
      </c>
      <c r="B2">
        <v>6</v>
      </c>
      <c r="C2">
        <v>254.61099999999996</v>
      </c>
      <c r="F2">
        <v>1</v>
      </c>
      <c r="G2">
        <f>392.11+9.21</f>
        <v>401.32</v>
      </c>
    </row>
    <row r="3" spans="1:7" x14ac:dyDescent="0.35">
      <c r="A3">
        <v>3</v>
      </c>
      <c r="B3">
        <v>5</v>
      </c>
      <c r="C3">
        <v>230.11099999999996</v>
      </c>
      <c r="F3">
        <v>2</v>
      </c>
      <c r="G3">
        <f>392.11-4.605</f>
        <v>387.505</v>
      </c>
    </row>
    <row r="4" spans="1:7" x14ac:dyDescent="0.35">
      <c r="A4">
        <v>3</v>
      </c>
      <c r="B4">
        <v>4</v>
      </c>
      <c r="C4">
        <v>205.61100000000002</v>
      </c>
      <c r="F4">
        <v>3</v>
      </c>
      <c r="G4">
        <f>392.11-4.605</f>
        <v>387.505</v>
      </c>
    </row>
    <row r="5" spans="1:7" x14ac:dyDescent="0.35">
      <c r="A5">
        <v>3</v>
      </c>
      <c r="B5">
        <v>3</v>
      </c>
      <c r="C5">
        <v>181.11100000000002</v>
      </c>
    </row>
    <row r="6" spans="1:7" x14ac:dyDescent="0.35">
      <c r="A6">
        <v>3</v>
      </c>
      <c r="B6">
        <v>2</v>
      </c>
      <c r="C6">
        <v>156.61100000000002</v>
      </c>
    </row>
    <row r="7" spans="1:7" x14ac:dyDescent="0.35">
      <c r="A7">
        <v>3</v>
      </c>
      <c r="B7">
        <v>1</v>
      </c>
      <c r="C7">
        <v>132.11100000000002</v>
      </c>
    </row>
    <row r="8" spans="1:7" x14ac:dyDescent="0.35">
      <c r="A8">
        <v>2</v>
      </c>
      <c r="B8">
        <v>6</v>
      </c>
      <c r="C8">
        <v>54.65</v>
      </c>
    </row>
    <row r="9" spans="1:7" x14ac:dyDescent="0.35">
      <c r="A9">
        <v>2</v>
      </c>
      <c r="B9">
        <v>5</v>
      </c>
      <c r="C9">
        <v>30.15</v>
      </c>
    </row>
    <row r="10" spans="1:7" x14ac:dyDescent="0.35">
      <c r="A10">
        <v>2</v>
      </c>
      <c r="B10">
        <v>4</v>
      </c>
      <c r="C10">
        <v>5.65</v>
      </c>
    </row>
    <row r="11" spans="1:7" x14ac:dyDescent="0.35">
      <c r="A11">
        <v>2</v>
      </c>
      <c r="B11">
        <v>3</v>
      </c>
      <c r="C11">
        <v>-18.850000000000001</v>
      </c>
    </row>
    <row r="12" spans="1:7" x14ac:dyDescent="0.35">
      <c r="A12">
        <v>2</v>
      </c>
      <c r="B12">
        <v>2</v>
      </c>
      <c r="C12">
        <v>-43.35</v>
      </c>
    </row>
    <row r="13" spans="1:7" x14ac:dyDescent="0.35">
      <c r="A13">
        <v>2</v>
      </c>
      <c r="B13">
        <v>1</v>
      </c>
      <c r="C13">
        <v>-67.849999999999994</v>
      </c>
    </row>
    <row r="14" spans="1:7" x14ac:dyDescent="0.35">
      <c r="A14">
        <v>1</v>
      </c>
      <c r="B14">
        <v>6</v>
      </c>
      <c r="C14">
        <v>-145.3115</v>
      </c>
    </row>
    <row r="15" spans="1:7" x14ac:dyDescent="0.35">
      <c r="A15">
        <v>1</v>
      </c>
      <c r="B15">
        <v>5</v>
      </c>
      <c r="C15">
        <v>-169.8115</v>
      </c>
    </row>
    <row r="16" spans="1:7" x14ac:dyDescent="0.35">
      <c r="A16">
        <v>1</v>
      </c>
      <c r="B16">
        <v>4</v>
      </c>
      <c r="C16">
        <v>-194.3115</v>
      </c>
    </row>
    <row r="17" spans="1:3" x14ac:dyDescent="0.35">
      <c r="A17">
        <v>1</v>
      </c>
      <c r="B17">
        <v>3</v>
      </c>
      <c r="C17">
        <v>-218.8115</v>
      </c>
    </row>
    <row r="18" spans="1:3" x14ac:dyDescent="0.35">
      <c r="A18">
        <v>1</v>
      </c>
      <c r="B18">
        <v>2</v>
      </c>
      <c r="C18">
        <v>-243.3115</v>
      </c>
    </row>
    <row r="19" spans="1:3" x14ac:dyDescent="0.35">
      <c r="A19">
        <v>1</v>
      </c>
      <c r="B19">
        <v>1</v>
      </c>
      <c r="C19">
        <v>-267.81150000000002</v>
      </c>
    </row>
  </sheetData>
  <sortState xmlns:xlrd2="http://schemas.microsoft.com/office/spreadsheetml/2017/richdata2" ref="A2:C19">
    <sortCondition descending="1" ref="C2:C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RB</vt:lpstr>
      <vt:lpstr>VXF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Gorton, Jacob</dc:creator>
  <cp:lastModifiedBy>Giraldo Echeverri, Gustavo Alberto</cp:lastModifiedBy>
  <dcterms:created xsi:type="dcterms:W3CDTF">2025-08-06T20:38:17Z</dcterms:created>
  <dcterms:modified xsi:type="dcterms:W3CDTF">2025-08-14T03:06:04Z</dcterms:modified>
</cp:coreProperties>
</file>